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<sst xmlns="http://schemas.openxmlformats.org/spreadsheetml/2006/main" count="43" uniqueCount="31">
  <si>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</si>
  <si>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</si>
  <si>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</si>
  <si>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</si>
  <si>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</si>
  <si>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</si>
  <si>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</si>
  <si>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</si>
  <si>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</si>
  <si>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</si>
  <si>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PRODC</t>
  </si>
  <si>
    <t>PRODB</t>
  </si>
  <si>
    <t>Furniture</t>
  </si>
  <si>
    <t>S</t>
  </si>
  <si>
    <t>PRODD</t>
  </si>
  <si>
    <t>Clothing</t>
  </si>
  <si>
    <t>PRODE</t>
  </si>
  <si>
    <t>PRODF</t>
  </si>
  <si>
    <t>1. Use INDEX and MATCH to find the sales fir Product C in March</t>
  </si>
  <si>
    <t>2. Use INDEX and MATCH to find the category for Product E</t>
  </si>
  <si>
    <t>MAX Sale</t>
  </si>
  <si>
    <t>3. Use INDEX and MATCH to find the maximum sales for Product B across all months</t>
  </si>
  <si>
    <t>4. Use INDEX and MATCH to find the month with the maximum sales for Product A</t>
  </si>
  <si>
    <t>5. Use INDEX, MATCH, and SUMIF to sum the sales for all Products in the "Electronics" category for April</t>
  </si>
  <si>
    <t>6. Use INDEX and MATCH to calculate the average sales for Product D across all months.</t>
  </si>
  <si>
    <t>Month with highest sale</t>
  </si>
  <si>
    <t>7. Use INDEX and MATCH to find the sales for Product ID 105 in May.</t>
  </si>
  <si>
    <t>8. Use INDEX and MATCH to create a lookup where the user can input a month, and the formula returns the corresponding sales.</t>
  </si>
  <si>
    <t>Sum of March Sale</t>
  </si>
  <si>
    <t>Average Sale</t>
  </si>
  <si>
    <t>Product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</si>
</sst>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2.0"/>
      <color/>
      <name val="Calibri"/>
    </font>
    <font>
      <sz val="11.0"/>
      <color/>
      <name val="Calibri"/>
    </font>
    <font>
      <b/>
      <sz val="11.0"/>
      <color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left"/>
    </xf>
    <xf borderId="1" fillId="3" fontId="2" numFmtId="0" xfId="0" applyBorder="1" applyFont="1"/>
    <xf borderId="1" fillId="0" fontId="2" numFmtId="0" xfId="0" applyAlignment="1" applyBorder="1" applyFont="1">
      <alignment horizontal="left"/>
    </xf>
    <xf borderId="1" fillId="4" fontId="2" numFmtId="0" xfId="0" applyBorder="1" applyFill="1" applyFont="1"/>
    <xf borderId="1" fillId="4" fontId="3" numFmtId="0" xfId="0" applyBorder="1" applyFont="1"/>
    <xf borderId="1" fillId="5" fontId="2" numFmtId="0" xfId="0" applyBorder="1" applyFill="1" applyFont="1"/>
    <xf borderId="1" fillId="5" fontId="3" numFmtId="0" xfId="0" applyBorder="1" applyFont="1"/>
    <xf borderId="0" fillId="0" fontId="2" numFmtId="0" xfId="0" applyFont="1"/>
    <xf borderId="1" fillId="0" fontId="2" numFmtId="0" xfId="0" applyAlignment="1" applyBorder="1" applyFont="1">
      <alignment horizontal="left"/>
    </xf>
    <xf borderId="1" fillId="6" fontId="2" numFmtId="0" xfId="0" applyBorder="1" applyFill="1" applyFont="1"/>
    <xf borderId="1" fillId="6" fontId="3" numFmtId="0" xfId="0" applyBorder="1" applyFont="1"/>
    <xf borderId="1" fillId="3" fontId="3" numFmtId="0" xfId="0" applyBorder="1" applyFont="1"/>
    <xf borderId="1" fillId="7" fontId="2" numFmtId="0" xfId="0" applyBorder="1" applyFill="1" applyFont="1"/>
    <xf borderId="1" fillId="7" fontId="3" numFmtId="0" xfId="0" applyBorder="1" applyFont="1"/>
    <xf borderId="1" fillId="8" fontId="2" numFmtId="0" xfId="0" applyBorder="1" applyFill="1" applyFont="1"/>
    <xf borderId="1" fillId="8" fontId="3" numFmtId="0" xfId="0" applyBorder="1" applyFont="1"/>
    <xf borderId="1" fillId="9" fontId="2" numFmtId="0" xfId="0" applyBorder="1" applyFill="1" applyFont="1"/>
    <xf borderId="1" fillId="9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1.0"/>
    <col customWidth="1" min="4" max="4" width="10.29"/>
    <col customWidth="1" min="5" max="5" width="10.14"/>
    <col customWidth="1" min="6" max="6" width="10.29"/>
    <col customWidth="1" min="7" max="7" width="11.29"/>
    <col customWidth="1" min="8" max="8" width="40.29"/>
    <col customWidth="1" min="9" max="9" width="1.71"/>
    <col customWidth="1" min="10" max="10" width="8.71"/>
    <col customWidth="1" min="11" max="11" width="20.57"/>
    <col customWidth="1" min="12" max="12" width="2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101.0</v>
      </c>
      <c r="B2" s="3" t="s">
        <v>8</v>
      </c>
      <c r="C2" s="3" t="s">
        <v>9</v>
      </c>
      <c r="D2" s="2">
        <v>120.0</v>
      </c>
      <c r="E2" s="2">
        <v>130.0</v>
      </c>
      <c r="F2" s="2">
        <v>140.0</v>
      </c>
      <c r="G2" s="2">
        <v>150.0</v>
      </c>
      <c r="H2" s="2">
        <v>160.0</v>
      </c>
      <c r="J2" s="4">
        <v>1.0</v>
      </c>
      <c r="K2" s="5"/>
      <c r="L2" s="6" t="s">
        <v>10</v>
      </c>
    </row>
    <row r="3">
      <c r="A3" s="2">
        <v>102.0</v>
      </c>
      <c r="B3" s="3" t="s">
        <v>11</v>
      </c>
      <c r="C3" s="3" t="s">
        <v>12</v>
      </c>
      <c r="D3" s="2">
        <v>150.0</v>
      </c>
      <c r="E3" s="2">
        <v>160.0</v>
      </c>
      <c r="F3" s="2">
        <v>220.0</v>
      </c>
      <c r="G3" s="2">
        <v>180.0</v>
      </c>
      <c r="H3" s="2">
        <v>190.0</v>
      </c>
      <c r="I3" t="s">
        <v>13</v>
      </c>
      <c r="K3" s="5" t="s">
        <v>5</v>
      </c>
      <c r="L3" s="5" t="str">
        <f t="array" ref="L3">INDEX(A1:H7,MATCH(L2,B1:B7,0),MATCH(K3,A1:H1,0))</f>
        <v>220</v>
      </c>
    </row>
    <row r="4">
      <c r="A4" s="2">
        <v>103.0</v>
      </c>
      <c r="B4" s="3" t="s">
        <v>10</v>
      </c>
      <c r="C4" s="3" t="s">
        <v>9</v>
      </c>
      <c r="D4" s="2">
        <v>200.0</v>
      </c>
      <c r="E4" s="2">
        <v>210.0</v>
      </c>
      <c r="F4" s="2">
        <v>220.0</v>
      </c>
      <c r="G4" s="2">
        <v>230.0</v>
      </c>
      <c r="H4" s="2">
        <v>240.0</v>
      </c>
    </row>
    <row r="5">
      <c r="A5" s="2">
        <v>104.0</v>
      </c>
      <c r="B5" s="3" t="s">
        <v>14</v>
      </c>
      <c r="C5" s="3" t="s">
        <v>15</v>
      </c>
      <c r="D5" s="2">
        <v>90.0</v>
      </c>
      <c r="E5" s="2">
        <v>100.0</v>
      </c>
      <c r="F5" s="2">
        <v>110.0</v>
      </c>
      <c r="G5" s="2">
        <v>120.0</v>
      </c>
      <c r="H5" s="2">
        <v>130.0</v>
      </c>
    </row>
    <row r="6">
      <c r="A6" s="2">
        <v>105.0</v>
      </c>
      <c r="B6" s="3" t="s">
        <v>16</v>
      </c>
      <c r="C6" s="3" t="s">
        <v>12</v>
      </c>
      <c r="D6" s="2">
        <v>220.0</v>
      </c>
      <c r="E6" s="2">
        <v>230.0</v>
      </c>
      <c r="F6" s="2">
        <v>240.0</v>
      </c>
      <c r="G6" s="2">
        <v>250.0</v>
      </c>
      <c r="H6" s="2">
        <v>260.0</v>
      </c>
      <c r="J6" s="4">
        <v>2.0</v>
      </c>
      <c r="K6" s="7"/>
      <c r="L6" s="8" t="s">
        <v>2</v>
      </c>
    </row>
    <row r="7">
      <c r="A7" s="2">
        <v>106.0</v>
      </c>
      <c r="B7" s="3" t="s">
        <v>17</v>
      </c>
      <c r="C7" s="3" t="s">
        <v>9</v>
      </c>
      <c r="D7" s="2">
        <v>130.0</v>
      </c>
      <c r="E7" s="2">
        <v>140.0</v>
      </c>
      <c r="F7" s="2">
        <v>150.0</v>
      </c>
      <c r="G7" s="2">
        <v>160.0</v>
      </c>
      <c r="H7" s="2">
        <v>170.0</v>
      </c>
      <c r="K7" s="7" t="s">
        <v>16</v>
      </c>
      <c r="L7" s="7" t="str">
        <f t="array" ref="L7">INDEX(A1:H7,MATCH(K7,B1:B7,0),MATCH(L6,A1:H1,0))</f>
        <v>Furniture</v>
      </c>
    </row>
    <row r="9">
      <c r="A9" s="9" t="s">
        <v>18</v>
      </c>
    </row>
    <row r="10">
      <c r="A10" s="9" t="s">
        <v>19</v>
      </c>
      <c r="J10" s="10">
        <v>3.0</v>
      </c>
      <c r="K10" s="11"/>
      <c r="L10" s="12" t="s">
        <v>20</v>
      </c>
    </row>
    <row r="11">
      <c r="A11" s="9" t="s">
        <v>21</v>
      </c>
      <c r="K11" s="11" t="s">
        <v>11</v>
      </c>
      <c r="L11" s="11" t="str">
        <f t="array" ref="L11">MAX(INDEX(D2:H7,MATCH(K11,B2:B7,0),))</f>
        <v>220</v>
      </c>
    </row>
    <row r="12">
      <c r="A12" s="9" t="s">
        <v>22</v>
      </c>
    </row>
    <row r="13">
      <c r="A13" s="9" t="s">
        <v>23</v>
      </c>
    </row>
    <row r="14">
      <c r="A14" s="9" t="s">
        <v>24</v>
      </c>
      <c r="J14" s="10">
        <v>4.0</v>
      </c>
      <c r="K14" s="3"/>
      <c r="L14" s="13" t="s">
        <v>25</v>
      </c>
    </row>
    <row r="15">
      <c r="A15" s="9" t="s">
        <v>26</v>
      </c>
      <c r="K15" s="3" t="s">
        <v>8</v>
      </c>
      <c r="L15" s="3" t="str">
        <f t="array" ref="L15">INDEX(D1:H1,MATCH(MAX(D2:H2),D2:H2,0))</f>
        <v>May Sales</v>
      </c>
    </row>
    <row r="16">
      <c r="A16" s="9" t="s">
        <v>27</v>
      </c>
    </row>
    <row r="17">
      <c r="A17" s="9"/>
      <c r="J17" s="10">
        <v>5.0</v>
      </c>
      <c r="K17" s="14"/>
      <c r="L17" s="15" t="s">
        <v>28</v>
      </c>
    </row>
    <row r="18">
      <c r="A18" s="9"/>
      <c r="K18" s="14" t="s">
        <v>9</v>
      </c>
      <c r="L18" s="14" t="str">
        <f>SUMIF(C2:C7,"Electronics",F2:F7)</f>
        <v>510</v>
      </c>
    </row>
    <row r="19">
      <c r="A19" s="9"/>
    </row>
    <row r="20">
      <c r="A20" s="9"/>
    </row>
    <row r="21" ht="15.75" customHeight="1">
      <c r="A21" s="9"/>
      <c r="J21" s="10">
        <v>6.0</v>
      </c>
      <c r="K21" s="16"/>
      <c r="L21" s="17" t="s">
        <v>29</v>
      </c>
    </row>
    <row r="22" ht="15.75" customHeight="1">
      <c r="A22" s="9"/>
      <c r="K22" s="16" t="s">
        <v>10</v>
      </c>
      <c r="L22" s="16" t="str">
        <f t="array" ref="L22">AVERAGE(INDEX(D2:H7,MATCH(K22,B2:B7,0),))</f>
        <v>220</v>
      </c>
    </row>
    <row r="23" ht="15.75" customHeight="1">
      <c r="A23" s="9"/>
    </row>
    <row r="24" ht="15.75" customHeight="1">
      <c r="A24" s="9"/>
    </row>
    <row r="25" ht="15.75" customHeight="1">
      <c r="A25" s="9"/>
      <c r="J25" s="10">
        <v>7.0</v>
      </c>
      <c r="K25" s="18" t="s">
        <v>30</v>
      </c>
      <c r="L25" s="19" t="s">
        <v>7</v>
      </c>
    </row>
    <row r="26" ht="15.75" customHeight="1">
      <c r="A26" s="9"/>
      <c r="K26" s="18">
        <v>105.0</v>
      </c>
      <c r="L26" s="18" t="str">
        <f t="array" ref="L26">INDEX(D2:H7,MATCH(K26,A2:A7,0),MATCH(L25,D1:H1,0))</f>
        <v>260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8">
    <mergeCell ref="A22:H22"/>
    <mergeCell ref="A23:H23"/>
    <mergeCell ref="A9:H9"/>
    <mergeCell ref="A10:H10"/>
    <mergeCell ref="A11:H11"/>
    <mergeCell ref="A12:H12"/>
    <mergeCell ref="A13:H13"/>
    <mergeCell ref="A14:H14"/>
    <mergeCell ref="A15:H15"/>
    <mergeCell ref="A16:H16"/>
    <mergeCell ref="A24:H24"/>
    <mergeCell ref="A25:H25"/>
    <mergeCell ref="A26:H26"/>
    <mergeCell ref="A18:H18"/>
    <mergeCell ref="A19:H19"/>
    <mergeCell ref="A20:H20"/>
    <mergeCell ref="A21:H21"/>
    <mergeCell ref="A17:H17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2026-01-20T05:27:20Z</dcterms:created>
  <dc:creator>User</dc:creator>
  <cp:lastModifiedBy>User</cp:lastModifiedBy>
  <dcterms:modified xsi:type="dcterms:W3CDTF">2026-01-20T12:39:03Z</dcterms:modified>
</cp:coreProperties>
</file>