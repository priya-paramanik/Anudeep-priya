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<sst xmlns="http://schemas.openxmlformats.org/spreadsheetml/2006/main" count="31" uniqueCount="15">
  <si>
    <t>Jan</t>
  </si>
  <si>
    <t>Feb</t>
  </si>
  <si>
    <t>Mar</t>
  </si>
  <si>
    <t>Apr</t>
  </si>
  <si>
    <t>May</t>
  </si>
  <si>
    <t>Product A</t>
  </si>
  <si>
    <t>AVERAGE</t>
  </si>
  <si>
    <t>Product B</t>
  </si>
  <si>
    <t>Product C</t>
  </si>
  <si>
    <t>Product D</t>
  </si>
  <si>
    <t>Product E</t>
  </si>
  <si>
    <t>Product F</t>
  </si>
  <si>
    <t>MAXIMUM Product B</t>
  </si>
  <si>
    <t>MINIMUM Product E</t>
  </si>
  <si>
    <t>TOTAL 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</si>
</sst>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horizontal="right" vertical="bottom"/>
    </xf>
    <xf borderId="1" fillId="4" fontId="3" numFmtId="0" xfId="0" applyAlignment="1" applyBorder="1" applyFill="1" applyFont="1">
      <alignment horizontal="right" vertical="bottom"/>
    </xf>
    <xf borderId="1" fillId="5" fontId="3" numFmtId="0" xfId="0" applyAlignment="1" applyBorder="1" applyFill="1" applyFont="1">
      <alignment vertical="bottom"/>
    </xf>
    <xf borderId="1" fillId="5" fontId="3" numFmtId="0" xfId="0" applyAlignment="1" applyBorder="1" applyFont="1">
      <alignment horizontal="right" vertical="bottom"/>
    </xf>
    <xf borderId="1" fillId="6" fontId="3" numFmtId="0" xfId="0" applyAlignment="1" applyBorder="1" applyFill="1" applyFont="1">
      <alignment horizontal="right" vertical="bottom"/>
    </xf>
    <xf borderId="1" fillId="0" fontId="1" numFmtId="164" xfId="0" applyAlignment="1" applyBorder="1" applyFont="1" applyNumberFormat="1">
      <alignment vertical="bottom"/>
    </xf>
    <xf borderId="1" fillId="7" fontId="3" numFmtId="0" xfId="0" applyAlignment="1" applyBorder="1" applyFill="1" applyFont="1">
      <alignment vertical="bottom"/>
    </xf>
    <xf borderId="1" fillId="7" fontId="3" numFmtId="0" xfId="0" applyAlignment="1" applyBorder="1" applyFont="1">
      <alignment horizontal="right" vertical="bottom"/>
    </xf>
    <xf borderId="1" fillId="8" fontId="3" numFmtId="0" xfId="0" applyAlignment="1" applyBorder="1" applyFill="1" applyFont="1">
      <alignment horizontal="right" vertical="bottom"/>
    </xf>
    <xf borderId="1" fillId="9" fontId="3" numFmtId="0" xfId="0" applyAlignment="1" applyBorder="1" applyFill="1" applyFont="1">
      <alignment horizontal="right" vertical="bottom"/>
    </xf>
    <xf borderId="1" fillId="10" fontId="3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25"/>
    <col customWidth="1" min="4" max="4" width="18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 t="s">
        <v>5</v>
      </c>
      <c r="B2" s="4">
        <v>120.0</v>
      </c>
      <c r="C2" s="4">
        <v>130.0</v>
      </c>
      <c r="D2" s="4">
        <v>140.0</v>
      </c>
      <c r="E2" s="4">
        <v>150.0</v>
      </c>
      <c r="F2" s="4">
        <v>160.0</v>
      </c>
      <c r="H2" s="5" t="s">
        <v>6</v>
      </c>
      <c r="I2" s="6">
        <f>AVERAGE(HLOOKUP(B1,A1:F7,6,0),HLOOKUP(C1,A1:F7,6,0),HLOOKUP(D1,A1:F7,6,0),HLOOKUP(E1,A1:F7,6,0),HLOOKUP(F1,A1:F7,6,0))</f>
        <v>240</v>
      </c>
    </row>
    <row r="3">
      <c r="A3" s="3" t="s">
        <v>7</v>
      </c>
      <c r="B3" s="4">
        <v>150.0</v>
      </c>
      <c r="C3" s="4">
        <v>160.0</v>
      </c>
      <c r="D3" s="4">
        <v>170.0</v>
      </c>
      <c r="E3" s="4">
        <v>180.0</v>
      </c>
      <c r="F3" s="4">
        <v>190.0</v>
      </c>
    </row>
    <row r="4">
      <c r="A4" s="3" t="s">
        <v>8</v>
      </c>
      <c r="B4" s="4">
        <v>200.0</v>
      </c>
      <c r="C4" s="4">
        <v>210.0</v>
      </c>
      <c r="D4" s="4">
        <v>220.0</v>
      </c>
      <c r="E4" s="4">
        <v>230.0</v>
      </c>
      <c r="F4" s="4">
        <v>240.0</v>
      </c>
    </row>
    <row r="5">
      <c r="A5" s="3" t="s">
        <v>9</v>
      </c>
      <c r="B5" s="4">
        <v>90.0</v>
      </c>
      <c r="C5" s="4">
        <v>100.0</v>
      </c>
      <c r="D5" s="4">
        <v>110.0</v>
      </c>
      <c r="E5" s="4">
        <v>120.0</v>
      </c>
      <c r="F5" s="4">
        <v>130.0</v>
      </c>
    </row>
    <row r="6">
      <c r="A6" s="3" t="s">
        <v>10</v>
      </c>
      <c r="B6" s="4">
        <v>220.0</v>
      </c>
      <c r="C6" s="4">
        <v>230.0</v>
      </c>
      <c r="D6" s="4">
        <v>240.0</v>
      </c>
      <c r="E6" s="4">
        <v>250.0</v>
      </c>
      <c r="F6" s="4">
        <v>260.0</v>
      </c>
    </row>
    <row r="7">
      <c r="A7" s="3" t="s">
        <v>11</v>
      </c>
      <c r="B7" s="4">
        <v>130.0</v>
      </c>
      <c r="C7" s="4">
        <v>140.0</v>
      </c>
      <c r="D7" s="4">
        <v>150.0</v>
      </c>
      <c r="E7" s="4">
        <v>160.0</v>
      </c>
      <c r="F7" s="4">
        <v>170.0</v>
      </c>
    </row>
    <row r="9">
      <c r="A9" s="7" t="s">
        <v>2</v>
      </c>
      <c r="B9" s="7">
        <f>HLOOKUP(A9,A1:F7,2,0)</f>
        <v>140</v>
      </c>
      <c r="D9" s="8"/>
      <c r="E9" s="9" t="s">
        <v>7</v>
      </c>
      <c r="F9" s="9" t="s">
        <v>10</v>
      </c>
    </row>
    <row r="10">
      <c r="A10" s="7" t="s">
        <v>2</v>
      </c>
      <c r="B10" s="7">
        <f>HLOOKUP(A10,A1:F7,3,0)</f>
        <v>170</v>
      </c>
      <c r="D10" s="10" t="s">
        <v>0</v>
      </c>
      <c r="E10" s="10">
        <v>150.0</v>
      </c>
      <c r="F10" s="10">
        <v>220.0</v>
      </c>
    </row>
    <row r="11">
      <c r="A11" s="11" t="s">
        <v>4</v>
      </c>
      <c r="B11" s="11">
        <f>HLOOKUP(A11,A1:F7,5,0)</f>
        <v>130</v>
      </c>
      <c r="D11" s="10" t="s">
        <v>1</v>
      </c>
      <c r="E11" s="10">
        <v>160.0</v>
      </c>
      <c r="F11" s="10">
        <v>230.0</v>
      </c>
    </row>
    <row r="12">
      <c r="A12" s="12" t="s">
        <v>1</v>
      </c>
      <c r="B12" s="12">
        <f>HLOOKUP(A12,A1:F7,4,0)</f>
        <v>210</v>
      </c>
      <c r="D12" s="10" t="s">
        <v>2</v>
      </c>
      <c r="E12" s="10">
        <v>170.0</v>
      </c>
      <c r="F12" s="10">
        <v>240.0</v>
      </c>
    </row>
    <row r="13">
      <c r="A13" s="13" t="s">
        <v>0</v>
      </c>
      <c r="B13" s="13">
        <f t="shared" ref="B13:B17" si="1">HLOOKUP(A13,$A$1:$F$7,2,0)</f>
        <v>120</v>
      </c>
      <c r="D13" s="10" t="s">
        <v>3</v>
      </c>
      <c r="E13" s="10">
        <v>180.0</v>
      </c>
      <c r="F13" s="10">
        <v>250.0</v>
      </c>
    </row>
    <row r="14">
      <c r="A14" s="13" t="s">
        <v>1</v>
      </c>
      <c r="B14" s="13">
        <f t="shared" si="1"/>
        <v>130</v>
      </c>
      <c r="D14" s="10" t="s">
        <v>4</v>
      </c>
      <c r="E14" s="10">
        <v>190.0</v>
      </c>
      <c r="F14" s="10">
        <v>260.0</v>
      </c>
    </row>
    <row r="15">
      <c r="A15" s="13" t="s">
        <v>2</v>
      </c>
      <c r="B15" s="13">
        <f t="shared" si="1"/>
        <v>140</v>
      </c>
      <c r="D15" s="10" t="s">
        <v>12</v>
      </c>
      <c r="E15" s="10">
        <f>MAX(HLOOKUP(D10,$A$1:$F$7,3,0),HLOOKUP(D11,$A$1:$F$7,3,0),HLOOKUP(D12,$A$1:$F$7,3,0),HLOOKUP(D13,$A$1:$F$7,3,0),HLOOKUP(D14,$A$1:$F$7,3,0))</f>
        <v>190</v>
      </c>
      <c r="F15" s="1"/>
    </row>
    <row r="16">
      <c r="A16" s="13" t="s">
        <v>3</v>
      </c>
      <c r="B16" s="13">
        <f t="shared" si="1"/>
        <v>150</v>
      </c>
      <c r="D16" s="10" t="s">
        <v>13</v>
      </c>
      <c r="E16" s="10">
        <f>MIN(HLOOKUP(D10,$A$1:$F$7,6,0),HLOOKUP(D11,$A$1:$F$7,6,0),HLOOKUP(D12,$A$1:$F$7,6,0),HLOOKUP(D13,$A$1:$F$7,6,0),HLOOKUP(D14,$A$1:$F$7,6,0))</f>
        <v>220</v>
      </c>
      <c r="F16" s="1"/>
    </row>
    <row r="17">
      <c r="A17" s="13" t="s">
        <v>4</v>
      </c>
      <c r="B17" s="13">
        <f t="shared" si="1"/>
        <v>160</v>
      </c>
    </row>
    <row r="18">
      <c r="A18" s="13" t="s">
        <v>14</v>
      </c>
      <c r="B18" s="13">
        <f>SUM(B13:B17)</f>
        <v>700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