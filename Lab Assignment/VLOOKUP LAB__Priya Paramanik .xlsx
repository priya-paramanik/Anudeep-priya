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<sst xmlns="http://schemas.openxmlformats.org/spreadsheetml/2006/main" count="26" uniqueCount="18">
  <si>
    <t>ProductID</t>
  </si>
  <si>
    <t>Product</t>
  </si>
  <si>
    <t>Price</t>
  </si>
  <si>
    <t>Order/Not Order</t>
  </si>
  <si>
    <t>Quantity</t>
  </si>
  <si>
    <t>Quantity Sold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</si>
  <si>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</si>
  <si>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</si>
  <si>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</si>
  <si>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</si>
  <si>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</si>
  <si>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</si>
  <si>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</si>
  <si>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</si>
  <si>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OrderID</t>
  </si>
  <si>
    <t>TotalPrice</t>
  </si>
  <si>
    <t>Discounted Price(10%)</t>
  </si>
  <si>
    <t>Max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</si>
</sst>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101.0</v>
      </c>
      <c r="B2" s="3" t="s">
        <v>6</v>
      </c>
      <c r="C2" s="3">
        <v>120.0</v>
      </c>
      <c r="D2" s="3" t="str">
        <f t="shared" ref="D2:D8" si="1">IF(ISNA(VLOOKUP(A2,Sheet2!$B$1:$B$7,1,0)),"Not Order","Order")</f>
        <v>Order</v>
      </c>
      <c r="E2" s="3">
        <v>2.0</v>
      </c>
      <c r="F2" s="4">
        <f>SUMIF(Sheet2!$B$1:$B$8,A2,Sheet2!$C$1:$C$8)</f>
        <v>2</v>
      </c>
    </row>
    <row r="3">
      <c r="A3" s="3">
        <v>102.0</v>
      </c>
      <c r="B3" s="3" t="s">
        <v>7</v>
      </c>
      <c r="C3" s="3">
        <v>150.0</v>
      </c>
      <c r="D3" s="3" t="str">
        <f t="shared" si="1"/>
        <v>Order</v>
      </c>
      <c r="E3" s="3">
        <v>5.0</v>
      </c>
      <c r="F3" s="4">
        <f>SUMIF(Sheet2!$B$1:$B$8,A3,Sheet2!$C$1:$C$8)</f>
        <v>5</v>
      </c>
    </row>
    <row r="4">
      <c r="A4" s="3">
        <v>103.0</v>
      </c>
      <c r="B4" s="3" t="s">
        <v>8</v>
      </c>
      <c r="C4" s="3">
        <v>200.0</v>
      </c>
      <c r="D4" s="3" t="str">
        <f t="shared" si="1"/>
        <v>Order</v>
      </c>
      <c r="E4" s="3">
        <v>1.0</v>
      </c>
      <c r="F4" s="4">
        <f>SUMIF(Sheet2!$B$1:$B$8,A4,Sheet2!$C$1:$C$8)</f>
        <v>1</v>
      </c>
    </row>
    <row r="5">
      <c r="A5" s="3">
        <v>104.0</v>
      </c>
      <c r="B5" s="3" t="s">
        <v>9</v>
      </c>
      <c r="C5" s="3">
        <v>90.0</v>
      </c>
      <c r="D5" s="3" t="str">
        <f t="shared" si="1"/>
        <v>Order</v>
      </c>
      <c r="E5" s="3">
        <v>6.0</v>
      </c>
      <c r="F5" s="4">
        <f>SUMIF(Sheet2!$B$1:$B$8,A5,Sheet2!$C$1:$C$8)</f>
        <v>6</v>
      </c>
    </row>
    <row r="6">
      <c r="A6" s="3">
        <v>105.0</v>
      </c>
      <c r="B6" s="3" t="s">
        <v>10</v>
      </c>
      <c r="C6" s="3">
        <v>220.0</v>
      </c>
      <c r="D6" s="3" t="str">
        <f t="shared" si="1"/>
        <v>Order</v>
      </c>
      <c r="E6" s="3">
        <v>4.0</v>
      </c>
      <c r="F6" s="4">
        <f>SUMIF(Sheet2!$B$1:$B$8,A6,Sheet2!$C$1:$C$8)</f>
        <v>4</v>
      </c>
    </row>
    <row r="7">
      <c r="A7" s="3">
        <v>106.0</v>
      </c>
      <c r="B7" s="3" t="s">
        <v>11</v>
      </c>
      <c r="C7" s="3">
        <v>130.0</v>
      </c>
      <c r="D7" s="3" t="str">
        <f t="shared" si="1"/>
        <v>Order</v>
      </c>
      <c r="E7" s="3">
        <v>3.0</v>
      </c>
      <c r="F7" s="4">
        <f>SUMIF(Sheet2!$B$1:$B$8,A7,Sheet2!$C$1:$C$8)</f>
        <v>3</v>
      </c>
    </row>
    <row r="8">
      <c r="A8" s="3">
        <v>108.0</v>
      </c>
      <c r="B8" s="3" t="s">
        <v>12</v>
      </c>
      <c r="C8" s="3">
        <v>150.0</v>
      </c>
      <c r="D8" s="3" t="str">
        <f t="shared" si="1"/>
        <v>Order</v>
      </c>
      <c r="E8" s="3"/>
      <c r="F8" s="4">
        <f>SUMIF(Sheet2!$B$1:$B$8,A8,Sheet2!$C$1:$C$8)</f>
        <v>0</v>
      </c>
    </row>
    <row r="9">
      <c r="A9" s="3">
        <v>107.0</v>
      </c>
      <c r="B9" s="3" t="s">
        <v>13</v>
      </c>
      <c r="C9" s="3">
        <v>140.0</v>
      </c>
      <c r="D9" s="3" t="str">
        <f>IF(ISNA(VLOOKUP(A9,Sheet2!$B$1:$B$8,1,0)),"Not Order","Order")</f>
        <v>Order</v>
      </c>
      <c r="E9" s="3">
        <v>5.0</v>
      </c>
      <c r="F9" s="4">
        <f>SUMIF(Sheet2!$B$1:$B$8,A9,Sheet2!$C$1:$C$8)</f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0</v>
      </c>
      <c r="C1" s="1" t="s">
        <v>4</v>
      </c>
      <c r="D1" s="1" t="s">
        <v>15</v>
      </c>
      <c r="E1" s="1" t="s">
        <v>16</v>
      </c>
      <c r="F1" s="1" t="s">
        <v>0</v>
      </c>
      <c r="G1" s="1" t="s">
        <v>1</v>
      </c>
    </row>
    <row r="2">
      <c r="A2" s="3">
        <v>1.0</v>
      </c>
      <c r="B2" s="3">
        <v>101.0</v>
      </c>
      <c r="C2" s="3">
        <v>2.0</v>
      </c>
      <c r="D2" s="4">
        <f>Sheet1!C2*C2</f>
        <v>240</v>
      </c>
      <c r="E2" s="4">
        <f>VLOOKUP(B2,Sheet1!$A$1:$C$7,3,0)*0.9</f>
        <v>108</v>
      </c>
      <c r="F2" s="3">
        <v>101.0</v>
      </c>
      <c r="G2" s="3" t="str">
        <f>VLOOKUP(F2,Sheet1!A$1:$C$7,2,0)</f>
        <v>Product A</v>
      </c>
    </row>
    <row r="3">
      <c r="A3" s="3">
        <v>2.0</v>
      </c>
      <c r="B3" s="3">
        <v>103.0</v>
      </c>
      <c r="C3" s="3">
        <v>1.0</v>
      </c>
      <c r="D3" s="4">
        <f>Sheet1!C4*C3</f>
        <v>200</v>
      </c>
      <c r="E3" s="4">
        <f>VLOOKUP(B3,Sheet1!$A$1:$C$7,3,0)*0.9</f>
        <v>180</v>
      </c>
      <c r="F3" s="3">
        <v>103.0</v>
      </c>
      <c r="G3" s="3" t="str">
        <f>VLOOKUP(F3,Sheet1!A$1:$C$7,2,0)</f>
        <v>Product C</v>
      </c>
    </row>
    <row r="4">
      <c r="A4" s="3">
        <v>3.0</v>
      </c>
      <c r="B4" s="3">
        <v>105.0</v>
      </c>
      <c r="C4" s="3">
        <v>4.0</v>
      </c>
      <c r="D4" s="4">
        <f>Sheet1!C6*C4</f>
        <v>880</v>
      </c>
      <c r="E4" s="4">
        <f>VLOOKUP(B4,Sheet1!$A$1:$C$7,3,0)*0.9</f>
        <v>198</v>
      </c>
      <c r="F4" s="3">
        <v>105.0</v>
      </c>
      <c r="G4" s="3" t="str">
        <f>VLOOKUP(F4,Sheet1!A$1:$C$7,2,0)</f>
        <v>Product E</v>
      </c>
    </row>
    <row r="5">
      <c r="A5" s="3">
        <v>4.0</v>
      </c>
      <c r="B5" s="3">
        <v>106.0</v>
      </c>
      <c r="C5" s="3">
        <v>3.0</v>
      </c>
      <c r="D5" s="4">
        <f>Sheet1!C7*C5</f>
        <v>390</v>
      </c>
      <c r="E5" s="4">
        <f>VLOOKUP(B5,Sheet1!$A$1:$C$7,3,0)*0.9</f>
        <v>117</v>
      </c>
      <c r="F5" s="3">
        <v>106.0</v>
      </c>
      <c r="G5" s="3" t="str">
        <f>VLOOKUP(F5,Sheet1!A$1:$C$7,2,0)</f>
        <v>Product F</v>
      </c>
    </row>
    <row r="6">
      <c r="A6" s="3">
        <v>5.0</v>
      </c>
      <c r="B6" s="3">
        <v>102.0</v>
      </c>
      <c r="C6" s="3">
        <v>5.0</v>
      </c>
      <c r="D6" s="4">
        <f>Sheet1!C3*C6</f>
        <v>750</v>
      </c>
      <c r="E6" s="4">
        <f>VLOOKUP(B6,Sheet1!$A$1:$C$7,3,0)*0.9</f>
        <v>135</v>
      </c>
      <c r="F6" s="3">
        <v>102.0</v>
      </c>
      <c r="G6" s="3" t="str">
        <f>VLOOKUP(F6,Sheet1!A$1:$C$7,2,0)</f>
        <v>Product B</v>
      </c>
    </row>
    <row r="7">
      <c r="A7" s="3">
        <v>6.0</v>
      </c>
      <c r="B7" s="3">
        <v>104.0</v>
      </c>
      <c r="C7" s="3">
        <v>6.0</v>
      </c>
      <c r="D7" s="4">
        <f>Sheet1!C5*C7</f>
        <v>540</v>
      </c>
      <c r="E7" s="4">
        <f>VLOOKUP(B7,Sheet1!$A$1:$C$7,3,0)*0.9</f>
        <v>81</v>
      </c>
      <c r="F7" s="3">
        <v>104.0</v>
      </c>
      <c r="G7" s="3" t="str">
        <f>VLOOKUP(F7,Sheet1!A$1:$C$7,2,0)</f>
        <v>Product D</v>
      </c>
    </row>
    <row r="8">
      <c r="A8" s="3">
        <v>7.0</v>
      </c>
      <c r="B8" s="3">
        <v>107.0</v>
      </c>
      <c r="C8" s="3">
        <v>5.0</v>
      </c>
      <c r="D8" s="4">
        <f>Sheet1!C9*C7</f>
        <v>840</v>
      </c>
      <c r="E8" s="4">
        <f>VLOOKUP(B8,Sheet1!$A$1:$C$9,3,0)*0.9</f>
        <v>126</v>
      </c>
      <c r="F8" s="5"/>
      <c r="G8" s="5"/>
    </row>
    <row r="9">
      <c r="A9" s="1" t="s">
        <v>0</v>
      </c>
      <c r="B9" s="1" t="s">
        <v>2</v>
      </c>
      <c r="D9" s="1" t="s">
        <v>0</v>
      </c>
      <c r="E9" s="1" t="s">
        <v>1</v>
      </c>
    </row>
    <row r="10">
      <c r="A10" s="3">
        <v>101.0</v>
      </c>
      <c r="B10" s="4">
        <f>VLOOKUP(A10,Sheet1!$A$1:$C$7,3,0)</f>
        <v>120</v>
      </c>
      <c r="D10" s="4">
        <v>101.0</v>
      </c>
      <c r="E10" s="3" t="str">
        <f>IF(ISNA(VLOOKUP(D10,Sheet1!$A$1:$C$7,1,0)),"Not Found","Found")</f>
        <v>Found</v>
      </c>
    </row>
    <row r="11">
      <c r="A11" s="3">
        <v>103.0</v>
      </c>
      <c r="B11" s="4">
        <f>VLOOKUP(A11,Sheet1!$A$1:$C$7,3,0)</f>
        <v>200</v>
      </c>
      <c r="D11" s="4">
        <v>105.0</v>
      </c>
      <c r="E11" s="3" t="str">
        <f>IF(ISNA(VLOOKUP(D11,Sheet1!$A$1:$C$7,1,0)),"Not Found","Found")</f>
        <v>Found</v>
      </c>
    </row>
    <row r="12">
      <c r="A12" s="3">
        <v>105.0</v>
      </c>
      <c r="B12" s="4">
        <f>VLOOKUP(A12,Sheet1!$A$1:$C$7,3,0)</f>
        <v>220</v>
      </c>
      <c r="D12" s="4">
        <v>104.0</v>
      </c>
      <c r="E12" s="3" t="str">
        <f>IF(ISNA(VLOOKUP(D12,Sheet1!$A$1:$C$7,1,0)),"Not Found","Found")</f>
        <v>Found</v>
      </c>
    </row>
    <row r="13">
      <c r="A13" s="3">
        <v>106.0</v>
      </c>
      <c r="B13" s="4">
        <f>VLOOKUP(A13,Sheet1!$A$1:$C$7,3,0)</f>
        <v>130</v>
      </c>
      <c r="D13" s="4">
        <v>109.0</v>
      </c>
      <c r="E13" s="3" t="str">
        <f>IF(ISNA(VLOOKUP(D13,Sheet1!$A$1:$C$7,1,0)),"Not Found","Found")</f>
        <v>Not Found</v>
      </c>
    </row>
    <row r="14">
      <c r="A14" s="3">
        <v>102.0</v>
      </c>
      <c r="B14" s="4">
        <f>VLOOKUP(A14,Sheet1!$A$1:$C$7,3,0)</f>
        <v>150</v>
      </c>
      <c r="D14" s="4">
        <v>110.0</v>
      </c>
      <c r="E14" s="3" t="str">
        <f>IF(ISNA(VLOOKUP(D14,Sheet1!$A$1:$C$7,1,0)),"Not Found","Found")</f>
        <v>Not Found</v>
      </c>
    </row>
    <row r="15">
      <c r="A15" s="3">
        <v>104.0</v>
      </c>
      <c r="B15" s="4">
        <f>VLOOKUP(A15,Sheet1!$A$1:$C$7,3,0)</f>
        <v>90</v>
      </c>
      <c r="D15" s="4">
        <v>111.0</v>
      </c>
      <c r="E15" s="3" t="str">
        <f>IF(ISNA(VLOOKUP(D15,Sheet1!$A$1:$C$7,1,0)),"Not Found","Found")</f>
        <v>Not Found</v>
      </c>
    </row>
    <row r="16">
      <c r="D16" s="4">
        <v>112.0</v>
      </c>
      <c r="E16" s="3" t="str">
        <f>IF(ISNA(VLOOKUP(D16,Sheet1!$A$1:$C$7,1,0)),"Not Found","Found")</f>
        <v>Not Found</v>
      </c>
    </row>
    <row r="17">
      <c r="D17" s="5"/>
      <c r="E17" s="5"/>
    </row>
    <row r="18">
      <c r="D18" s="1" t="s">
        <v>17</v>
      </c>
      <c r="E18" s="4">
        <f>MAX(D2:D7)</f>
        <v>880</v>
      </c>
    </row>
  </sheetData>
  <drawing r:id="rId1"/>
</worksheet>
</file>