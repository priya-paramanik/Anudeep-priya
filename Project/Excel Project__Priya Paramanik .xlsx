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<sst xmlns="http://schemas.openxmlformats.org/spreadsheetml/2006/main" count="217" uniqueCount="115">
  <si>
    <t>Teacher_ID</t>
  </si>
  <si>
    <t>Teacher_Name</t>
  </si>
  <si>
    <t>Gender</t>
  </si>
  <si>
    <t>Age</t>
  </si>
  <si>
    <t>Qualification</t>
  </si>
  <si>
    <t>Subject</t>
  </si>
  <si>
    <t>Department</t>
  </si>
  <si>
    <t>Class_Assigned</t>
  </si>
  <si>
    <t>Section</t>
  </si>
  <si>
    <t>Experience_Years</t>
  </si>
  <si>
    <t>Joining_Year</t>
  </si>
  <si>
    <t>Monthly_Salary</t>
  </si>
  <si>
    <t>Employment_Type</t>
  </si>
  <si>
    <t>Phone_No</t>
  </si>
  <si>
    <t>Email_ID</t>
  </si>
  <si>
    <t>T001</t>
  </si>
  <si>
    <t>Amit Sen</t>
  </si>
  <si>
    <t>M</t>
  </si>
  <si>
    <t>M.Sc</t>
  </si>
  <si>
    <t>Physics</t>
  </si>
  <si>
    <t>Science</t>
  </si>
  <si>
    <t>A</t>
  </si>
  <si>
    <t>Permanent</t>
  </si>
  <si>
    <t>amit.sen@school.edu</t>
  </si>
  <si>
    <t>T002</t>
  </si>
  <si>
    <t>Riya Roy</t>
  </si>
  <si>
    <t>F</t>
  </si>
  <si>
    <t>M.A</t>
  </si>
  <si>
    <t>English</t>
  </si>
  <si>
    <t>Arts</t>
  </si>
  <si>
    <t>B</t>
  </si>
  <si>
    <t>riya.roy@school.edu</t>
  </si>
  <si>
    <t>T003</t>
  </si>
  <si>
    <t>Suman Das</t>
  </si>
  <si>
    <t>Mathematics</t>
  </si>
  <si>
    <t>suman.das@school.edu</t>
  </si>
  <si>
    <t>T004</t>
  </si>
  <si>
    <t>Neha Paul</t>
  </si>
  <si>
    <t>B.Ed</t>
  </si>
  <si>
    <t>Biology</t>
  </si>
  <si>
    <t>Contract</t>
  </si>
  <si>
    <t>neha.paul@school.edu</t>
  </si>
  <si>
    <t>T005</t>
  </si>
  <si>
    <t>Rahul Ghosh</t>
  </si>
  <si>
    <t>History</t>
  </si>
  <si>
    <t>rahul.ghosh@school.edu</t>
  </si>
  <si>
    <t>T006</t>
  </si>
  <si>
    <t>Ananya Bose</t>
  </si>
  <si>
    <t>Chemistry</t>
  </si>
  <si>
    <t>ananya.bose@school.edu</t>
  </si>
  <si>
    <t>T007</t>
  </si>
  <si>
    <t>Arjun Banerjee</t>
  </si>
  <si>
    <t>B.Tech</t>
  </si>
  <si>
    <t>Computer</t>
  </si>
  <si>
    <t>IT</t>
  </si>
  <si>
    <t>C</t>
  </si>
  <si>
    <t>arjun.b@school.edu</t>
  </si>
  <si>
    <t>T008</t>
  </si>
  <si>
    <t>Priya Mukherjee</t>
  </si>
  <si>
    <t>Geography</t>
  </si>
  <si>
    <t>priya.m@school.edu</t>
  </si>
  <si>
    <t>T009</t>
  </si>
  <si>
    <t>Kunal Dey</t>
  </si>
  <si>
    <t>Physical Ed.</t>
  </si>
  <si>
    <t>Sports</t>
  </si>
  <si>
    <t>kunal.dey@school.edu</t>
  </si>
  <si>
    <t>T010</t>
  </si>
  <si>
    <t>Soma Chakraborty</t>
  </si>
  <si>
    <t>Economics</t>
  </si>
  <si>
    <t>Commerce</t>
  </si>
  <si>
    <t>soma.c@school.edu</t>
  </si>
  <si>
    <t>T011</t>
  </si>
  <si>
    <t>Debashis Paul</t>
  </si>
  <si>
    <t>debashis.p@school.edu</t>
  </si>
  <si>
    <t>T012</t>
  </si>
  <si>
    <t>Tanushree Mitra</t>
  </si>
  <si>
    <t>tanushree.m@school.edu</t>
  </si>
  <si>
    <t>T013</t>
  </si>
  <si>
    <t>Abhishek Roy</t>
  </si>
  <si>
    <t>abhishek.r@school.edu</t>
  </si>
  <si>
    <t>T014</t>
  </si>
  <si>
    <t>Indrani Sen</t>
  </si>
  <si>
    <t>indrani.s@school.edu</t>
  </si>
  <si>
    <t>T015</t>
  </si>
  <si>
    <t>Soumen Dutta</t>
  </si>
  <si>
    <t>soumen.d@school.edu</t>
  </si>
  <si>
    <t>IF/AND/OR Logical Function Questions</t>
  </si>
  <si>
    <t>Formulas</t>
  </si>
  <si>
    <t>VLOOKUP/HLOOKUP/INDEX/MATCH Function</t>
  </si>
  <si>
    <t>1.If Experience&gt;10 years, return"Senior" else "Junior"</t>
  </si>
  <si>
    <t>1.Find the Subject accordind to Teacher IDs</t>
  </si>
  <si>
    <t>2.If monthly salary&gt;=40000, return "High Salary" else "Normal"</t>
  </si>
  <si>
    <t>2.Find the Employment Type according to Teacher IDs</t>
  </si>
  <si>
    <t>3.If salary&gt;=45000,"Excellent",if salary&gt;="Good" else "Average"</t>
  </si>
  <si>
    <t>3.Find the Qualification  accordind to Teacher IDs</t>
  </si>
  <si>
    <t>4.If Department=IT, return "Tech-Department" else "Non-Tech"</t>
  </si>
  <si>
    <t>4.Find the Age  accordind to Teacher IDs</t>
  </si>
  <si>
    <t>5.If Age&gt;=40,"Senior", Age&gt;=30,"Mild-Level" else "Junior"</t>
  </si>
  <si>
    <t xml:space="preserve">5.Find Department  accordind to Teacher IDs </t>
  </si>
  <si>
    <t>6.If joining year&lt;2010,return "Old Staff" else "New Staff"</t>
  </si>
  <si>
    <t>6.Find the Subject  accordind to Teacher IDs</t>
  </si>
  <si>
    <t>7.If Science+Salary&gt;=45000,"Excellent", IfScience+Salary&lt;45000,"Good" others "Average"</t>
  </si>
  <si>
    <t>7.Find the Department from Teacher IDs</t>
  </si>
  <si>
    <t>8.If Department=Science and Experience&gt;10, return "Eligible","Not Eligible"</t>
  </si>
  <si>
    <t>9.If Gender= Femail or Salary&gt;45000, return"Priority"</t>
  </si>
  <si>
    <t>10.If Department = Science and salary&gt;40000, return "High Paid science"</t>
  </si>
  <si>
    <t>11.If Experience&gt;15 or Salary&gt;48000, return "Top Staff"</t>
  </si>
  <si>
    <t>12.If Department=Science, Experience&gt;=15, and salary&gt;=45000, return "Star Teacher"</t>
  </si>
  <si>
    <t>13.If Gender= Female or Qualification=M.Ed, return "Special Category"</t>
  </si>
  <si>
    <t>14.(IF+VLOOKUP)If salary&gt;=45000, show"High" else "Low"</t>
  </si>
  <si>
    <t>15.(IF ERROR+VLOKUP)If Teacher ID T015 not found, return "Not Available"</t>
  </si>
  <si>
    <t>IFS Logical Function Questions</t>
  </si>
  <si>
    <t>1.Experience grading: &gt;=15"Very Experienced",&gt;=10"Experienced", else "Beginner"</t>
  </si>
  <si>
    <t>2.Employment Type logic: Permanent"Full Time", Contract"Temporary"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</si>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</sst>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2.0"/>
      <name val="Calibri"/>
    </font>
    <font>
      <sz val="11.0"/>
      <name val="Calibri"/>
    </font>
    <font>
      <b/>
      <sz val="11.0"/>
      <name val="Calibri"/>
    </font>
    <font>
      <u/>
      <sz val="11.0"/>
      <color rgb="FF0000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CECEC"/>
        <bgColor rgb="FFECECEC"/>
      </patternFill>
    </fill>
    <fill>
      <patternFill patternType="solid">
        <fgColor rgb="FFB4C6E7"/>
        <bgColor rgb="FFB4C6E7"/>
      </patternFill>
    </fill>
    <fill>
      <patternFill patternType="solid">
        <fgColor rgb="FFC8C8C8"/>
        <bgColor rgb="FFC8C8C8"/>
      </patternFill>
    </fill>
    <fill>
      <patternFill patternType="solid">
        <fgColor rgb="FFFEF2CB"/>
        <bgColor rgb="FFFEF2CB"/>
      </patternFill>
    </fill>
    <fill>
      <patternFill patternType="solid">
        <fgColor rgb="FF00B0F0"/>
        <bgColor rgb="FF00B0F0"/>
      </patternFill>
    </fill>
    <fill>
      <patternFill patternType="solid">
        <fgColor rgb="FFAEABAB"/>
        <bgColor rgb="FFAEABAB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A5A5A5"/>
        <bgColor rgb="FFA5A5A5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2" numFmtId="0" xfId="0" applyAlignment="1" applyBorder="1" applyFill="1" applyFont="1">
      <alignment horizontal="center"/>
    </xf>
    <xf borderId="5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/>
    </xf>
    <xf borderId="5" fillId="4" fontId="2" numFmtId="0" xfId="0" applyAlignment="1" applyBorder="1" applyFont="1">
      <alignment horizontal="center"/>
    </xf>
    <xf borderId="6" fillId="4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5" fillId="5" fontId="1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horizontal="center"/>
    </xf>
    <xf borderId="5" fillId="7" fontId="1" numFmtId="0" xfId="0" applyAlignment="1" applyBorder="1" applyFill="1" applyFont="1">
      <alignment horizontal="center"/>
    </xf>
    <xf borderId="5" fillId="8" fontId="1" numFmtId="0" xfId="0" applyAlignment="1" applyBorder="1" applyFill="1" applyFont="1">
      <alignment horizontal="center"/>
    </xf>
    <xf borderId="5" fillId="9" fontId="1" numFmtId="0" xfId="0" applyAlignment="1" applyBorder="1" applyFill="1" applyFont="1">
      <alignment horizontal="center"/>
    </xf>
    <xf borderId="5" fillId="10" fontId="2" numFmtId="0" xfId="0" applyAlignment="1" applyBorder="1" applyFill="1" applyFont="1">
      <alignment horizontal="left"/>
    </xf>
    <xf borderId="5" fillId="11" fontId="3" numFmtId="0" xfId="0" applyAlignment="1" applyBorder="1" applyFill="1" applyFont="1">
      <alignment horizontal="center"/>
    </xf>
    <xf borderId="5" fillId="12" fontId="2" numFmtId="0" xfId="0" applyBorder="1" applyFill="1" applyFont="1"/>
    <xf borderId="5" fillId="13" fontId="2" numFmtId="0" xfId="0" applyBorder="1" applyFill="1" applyFont="1"/>
    <xf borderId="5" fillId="6" fontId="2" numFmtId="0" xfId="0" applyAlignment="1" applyBorder="1" applyFont="1">
      <alignment horizontal="center"/>
    </xf>
    <xf borderId="5" fillId="12" fontId="4" numFmtId="0" xfId="0" applyBorder="1" applyFont="1"/>
    <xf borderId="5" fillId="12" fontId="2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5" fillId="14" fontId="1" numFmtId="0" xfId="0" applyAlignment="1" applyBorder="1" applyFill="1" applyFont="1">
      <alignment horizontal="center"/>
    </xf>
    <xf borderId="5" fillId="10" fontId="2" numFmtId="0" xfId="0" applyBorder="1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040689432537511"/>
          <c:y val="0.357412862225169"/>
          <c:w val="0.7259328813844793"/>
          <c:h val="0.311990698214463"/>
        </c:manualLayout>
      </c:layout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Sheet3!$A$2:$A$7</c:f>
            </c:strRef>
          </c:cat>
          <c:val>
            <c:numRef>
              <c:f>Sheet3!$B$2:$B$7</c:f>
              <c:numCache/>
            </c:numRef>
          </c:val>
        </c:ser>
        <c:overlap val="100"/>
        <c:axId val="516231542"/>
        <c:axId val="82007333"/>
      </c:barChart>
      <c:catAx>
        <c:axId val="516231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007333"/>
      </c:catAx>
      <c:valAx>
        <c:axId val="8200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623154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Sheet3!$D$1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Sheet3!$C$2:$C$7</c:f>
            </c:strRef>
          </c:cat>
          <c:val>
            <c:numRef>
              <c:f>Sheet3!$D$2:$D$7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Sheet3!$E$2:$E$4</c:f>
            </c:strRef>
          </c:cat>
          <c:val>
            <c:numRef>
              <c:f>Sheet3!$F$2:$F$4</c:f>
              <c:numCache/>
            </c:numRef>
          </c:val>
        </c:ser>
        <c:axId val="1546220980"/>
        <c:axId val="720982636"/>
      </c:barChart>
      <c:catAx>
        <c:axId val="1546220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982636"/>
      </c:catAx>
      <c:valAx>
        <c:axId val="7209826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6220980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201550387596899"/>
          <c:y val="0.25968945058338294"/>
          <c:w val="0.6589147286821705"/>
          <c:h val="0.5062515714947396"/>
        </c:manualLayout>
      </c:layout>
      <c:pieChart>
        <c:varyColors val="1"/>
        <c:ser>
          <c:idx val="0"/>
          <c:order val="0"/>
          <c:tx>
            <c:strRef>
              <c:f>Sheet3!$H$1:$H$2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Sheet3!$G$3:$G$8</c:f>
            </c:strRef>
          </c:cat>
          <c:val>
            <c:numRef>
              <c:f>Sheet3!$H$3:$H$8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3419475" cy="19240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</xdr:row>
      <xdr:rowOff>0</xdr:rowOff>
    </xdr:from>
    <xdr:ext cx="3581400" cy="1847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12</xdr:row>
      <xdr:rowOff>161925</xdr:rowOff>
    </xdr:from>
    <xdr:ext cx="3629025" cy="2066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57150</xdr:colOff>
      <xdr:row>12</xdr:row>
      <xdr:rowOff>0</xdr:rowOff>
    </xdr:from>
    <xdr:ext cx="3095625" cy="21526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6" sheet="Sheet1"/>
  </cacheSource>
  <cacheFields>
    <cacheField name="Teacher_ID" numFmtId="0">
      <sharedItems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</sharedItems>
    </cacheField>
    <cacheField name="Teacher_Name" numFmtId="0">
      <sharedItems>
        <s v="Amit Sen"/>
        <s v="Riya Roy"/>
        <s v="Suman Das"/>
        <s v="Neha Paul"/>
        <s v="Rahul Ghosh"/>
        <s v="Ananya Bose"/>
        <s v="Arjun Banerjee"/>
        <s v="Priya Mukherjee"/>
        <s v="Kunal Dey"/>
        <s v="Soma Chakraborty"/>
        <s v="Debashis Paul"/>
        <s v="Tanushree Mitra"/>
        <s v="Abhishek Roy"/>
        <s v="Indrani Sen"/>
        <s v="Soumen Dutta"/>
      </sharedItems>
    </cacheField>
    <cacheField name="Gender" numFmtId="0">
      <sharedItems>
        <s v="M"/>
        <s v="F"/>
      </sharedItems>
    </cacheField>
    <cacheField name="Age" numFmtId="0">
      <sharedItems containsSemiMixedTypes="0" containsString="0" containsNumber="1" containsInteger="1">
        <n v="38.0"/>
        <n v="34.0"/>
        <n v="41.0"/>
        <n v="29.0"/>
        <n v="45.0"/>
        <n v="36.0"/>
        <n v="32.0"/>
        <n v="39.0"/>
        <n v="28.0"/>
        <n v="42.0"/>
        <n v="35.0"/>
        <n v="31.0"/>
        <n v="40.0"/>
        <n v="37.0"/>
        <n v="44.0"/>
      </sharedItems>
    </cacheField>
    <cacheField name="Qualification" numFmtId="0">
      <sharedItems>
        <s v="M.Sc"/>
        <s v="M.A"/>
        <s v="B.Ed"/>
        <s v="B.Tech"/>
      </sharedItems>
    </cacheField>
    <cacheField name="Subject" numFmtId="0">
      <sharedItems>
        <s v="Physics"/>
        <s v="English"/>
        <s v="Mathematics"/>
        <s v="Biology"/>
        <s v="History"/>
        <s v="Chemistry"/>
        <s v="Computer"/>
        <s v="Geography"/>
        <s v="Physical Ed."/>
        <s v="Economics"/>
      </sharedItems>
    </cacheField>
    <cacheField name="Department" numFmtId="0">
      <sharedItems>
        <s v="Science"/>
        <s v="Arts"/>
        <s v="IT"/>
        <s v="Sports"/>
        <s v="Commerce"/>
      </sharedItems>
    </cacheField>
    <cacheField name="Class_Assigned" numFmtId="0">
      <sharedItems containsSemiMixedTypes="0" containsString="0" containsNumber="1" containsInteger="1">
        <n v="10.0"/>
        <n v="9.0"/>
        <n v="8.0"/>
        <n v="11.0"/>
        <n v="7.0"/>
        <n v="12.0"/>
      </sharedItems>
    </cacheField>
    <cacheField name="Section" numFmtId="0">
      <sharedItems>
        <s v="A"/>
        <s v="B"/>
        <s v="C"/>
      </sharedItems>
    </cacheField>
    <cacheField name="Experience_Years" numFmtId="0">
      <sharedItems containsSemiMixedTypes="0" containsString="0" containsNumber="1" containsInteger="1">
        <n v="12.0"/>
        <n v="10.0"/>
        <n v="15.0"/>
        <n v="5.0"/>
        <n v="20.0"/>
        <n v="11.0"/>
        <n v="7.0"/>
        <n v="14.0"/>
        <n v="4.0"/>
        <n v="18.0"/>
        <n v="9.0"/>
        <n v="6.0"/>
        <n v="16.0"/>
        <n v="13.0"/>
        <n v="19.0"/>
      </sharedItems>
    </cacheField>
    <cacheField name="Joining_Year" numFmtId="0">
      <sharedItems containsSemiMixedTypes="0" containsString="0" containsNumber="1" containsInteger="1">
        <n v="2012.0"/>
        <n v="2014.0"/>
        <n v="2009.0"/>
        <n v="2019.0"/>
        <n v="2004.0"/>
        <n v="2013.0"/>
        <n v="2017.0"/>
        <n v="2011.0"/>
        <n v="2020.0"/>
        <n v="2007.0"/>
        <n v="2015.0"/>
        <n v="2018.0"/>
        <n v="2008.0"/>
        <n v="2005.0"/>
      </sharedItems>
    </cacheField>
    <cacheField name="Monthly_Salary" numFmtId="0">
      <sharedItems containsSemiMixedTypes="0" containsString="0" containsNumber="1" containsInteger="1">
        <n v="42000.0"/>
        <n v="38000.0"/>
        <n v="45000.0"/>
        <n v="30000.0"/>
        <n v="48000.0"/>
        <n v="43000.0"/>
        <n v="36000.0"/>
        <n v="41000.0"/>
        <n v="28000.0"/>
        <n v="50000.0"/>
        <n v="39000.0"/>
        <n v="32000.0"/>
        <n v="47000.0"/>
        <n v="49000.0"/>
      </sharedItems>
    </cacheField>
    <cacheField name="Employment_Type" numFmtId="0">
      <sharedItems>
        <s v="Permanent"/>
        <s v="Contract"/>
      </sharedItems>
    </cacheField>
    <cacheField name="Phone_No" numFmtId="0">
      <sharedItems containsSemiMixedTypes="0" containsString="0" containsNumber="1" containsInteger="1">
        <n v="9.876543201E9"/>
        <n v="9.876543202E9"/>
        <n v="9.876543203E9"/>
        <n v="9.876543204E9"/>
        <n v="9.876543205E9"/>
        <n v="9.876543206E9"/>
        <n v="9.876543207E9"/>
        <n v="9.876543208E9"/>
        <n v="9.876543209E9"/>
        <n v="9.87654321E9"/>
        <n v="9.876543211E9"/>
        <n v="9.876543212E9"/>
        <n v="9.876543213E9"/>
        <n v="9.876543214E9"/>
        <n v="9.876543215E9"/>
      </sharedItems>
    </cacheField>
    <cacheField name="Email_ID" numFmtId="0">
      <sharedItems>
        <s v="amit.sen@school.edu"/>
        <s v="riya.roy@school.edu"/>
        <s v="suman.das@school.edu"/>
        <s v="neha.paul@school.edu"/>
        <s v="rahul.ghosh@school.edu"/>
        <s v="ananya.bose@school.edu"/>
        <s v="arjun.b@school.edu"/>
        <s v="priya.m@school.edu"/>
        <s v="kunal.dey@school.edu"/>
        <s v="soma.c@school.edu"/>
        <s v="debashis.p@school.edu"/>
        <s v="tanushree.m@school.edu"/>
        <s v="abhishek.r@school.edu"/>
        <s v="indrani.s@school.edu"/>
        <s v="soumen.d@school.edu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3" cacheId="0" dataCaption="">
  <location ref="A1:B7" firstHeaderRow="1" firstDataRow="2" firstDataCol="0"/>
  <pivotFields>
    <pivotField name="Teacher_ID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acher_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outline="0" multipleItemSelectionAllowed="1" showAll="0">
      <items>
        <item x="0"/>
        <item x="1"/>
        <item t="default"/>
      </items>
    </pivotField>
    <pivotField name="Ag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Qualification" outline="0" multipleItemSelectionAllowed="1" showAll="0">
      <items>
        <item x="0"/>
        <item x="1"/>
        <item x="2"/>
        <item x="3"/>
        <item t="default"/>
      </items>
    </pivotField>
    <pivotField name="Subje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outline="0" multipleItemSelectionAllowed="1" showAll="0" sortType="ascending">
      <items>
        <item x="1"/>
        <item x="4"/>
        <item x="2"/>
        <item x="0"/>
        <item x="3"/>
        <item t="default"/>
      </items>
    </pivotField>
    <pivotField name="Class_Assigned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tion" outline="0" multipleItemSelectionAllowed="1" showAll="0">
      <items>
        <item x="0"/>
        <item x="1"/>
        <item x="2"/>
        <item t="default"/>
      </items>
    </pivotField>
    <pivotField name="Experience_Year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oining_Yea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ly_Salar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mployment_Type" outline="0" multipleItemSelectionAllowed="1" showAll="0">
      <items>
        <item x="0"/>
        <item x="1"/>
        <item t="default"/>
      </items>
    </pivotField>
    <pivotField name="Phone_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6"/>
  </rowFields>
  <dataFields>
    <dataField name="COUNTA of Teacher_ID" fld="0" subtotal="count" baseField="0"/>
  </dataFields>
</pivotTableDefinition>
</file>

<file path=xl/pivotTables/pivotTable2.xml><?xml version="1.0" encoding="utf-8"?>
<pivotTableDefinition xmlns="http://schemas.openxmlformats.org/spreadsheetml/2006/main" name="Sheet3 2" cacheId="0" dataCaption="">
  <location ref="C1:D7" firstHeaderRow="1" firstDataRow="2" firstDataCol="0"/>
  <pivotFields>
    <pivotField name="Teacher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acher_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outline="0" multipleItemSelectionAllowed="1" showAll="0">
      <items>
        <item x="0"/>
        <item x="1"/>
        <item t="default"/>
      </items>
    </pivotField>
    <pivotField name="Ag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Qualification" outline="0" multipleItemSelectionAllowed="1" showAll="0">
      <items>
        <item x="0"/>
        <item x="1"/>
        <item x="2"/>
        <item x="3"/>
        <item t="default"/>
      </items>
    </pivotField>
    <pivotField name="Subje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outline="0" multipleItemSelectionAllowed="1" showAll="0" sortType="ascending">
      <items>
        <item x="1"/>
        <item x="4"/>
        <item x="2"/>
        <item x="0"/>
        <item x="3"/>
        <item t="default"/>
      </items>
    </pivotField>
    <pivotField name="Class_Assigned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tion" outline="0" multipleItemSelectionAllowed="1" showAll="0">
      <items>
        <item x="0"/>
        <item x="1"/>
        <item x="2"/>
        <item t="default"/>
      </items>
    </pivotField>
    <pivotField name="Experience_Year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oining_Yea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ly_Salary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mployment_Type" outline="0" multipleItemSelectionAllowed="1" showAll="0">
      <items>
        <item x="0"/>
        <item x="1"/>
        <item t="default"/>
      </items>
    </pivotField>
    <pivotField name="Phone_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6"/>
  </rowFields>
  <dataFields>
    <dataField name="SUM of Monthly_Salary" fld="11" baseField="0"/>
  </dataFields>
</pivotTableDefinition>
</file>

<file path=xl/pivotTables/pivotTable3.xml><?xml version="1.0" encoding="utf-8"?>
<pivotTableDefinition xmlns="http://schemas.openxmlformats.org/spreadsheetml/2006/main" name="Sheet3 3" cacheId="0" dataCaption="">
  <location ref="E1:F4" firstHeaderRow="1" firstDataRow="2" firstDataCol="0"/>
  <pivotFields>
    <pivotField name="Teacher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acher_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outline="0" multipleItemSelectionAllowed="1" showAll="0">
      <items>
        <item x="0"/>
        <item x="1"/>
        <item t="default"/>
      </items>
    </pivotField>
    <pivotField name="Ag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Qualification" outline="0" multipleItemSelectionAllowed="1" showAll="0">
      <items>
        <item x="0"/>
        <item x="1"/>
        <item x="2"/>
        <item x="3"/>
        <item t="default"/>
      </items>
    </pivotField>
    <pivotField name="Subje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outline="0" multipleItemSelectionAllowed="1" showAll="0">
      <items>
        <item x="0"/>
        <item x="1"/>
        <item x="2"/>
        <item x="3"/>
        <item x="4"/>
        <item t="default"/>
      </items>
    </pivotField>
    <pivotField name="Class_Assigned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tion" outline="0" multipleItemSelectionAllowed="1" showAll="0">
      <items>
        <item x="0"/>
        <item x="1"/>
        <item x="2"/>
        <item t="default"/>
      </items>
    </pivotField>
    <pivotField name="Experience_Year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oining_Yea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ly_Salary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mployment_Type" axis="axisRow" outline="0" multipleItemSelectionAllowed="1" showAll="0" sortType="ascending">
      <items>
        <item x="1"/>
        <item x="0"/>
        <item t="default"/>
      </items>
    </pivotField>
    <pivotField name="Phone_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dataFields>
    <dataField name="SUM of Monthly_Salary" fld="11" baseField="0"/>
  </dataFields>
</pivotTableDefinition>
</file>

<file path=xl/pivotTables/pivotTable4.xml><?xml version="1.0" encoding="utf-8"?>
<pivotTableDefinition xmlns="http://schemas.openxmlformats.org/spreadsheetml/2006/main" name="Sheet3 4" cacheId="0" dataCaption="">
  <location ref="G1:J8" firstHeaderRow="1" firstDataRow="2" firstDataCol="1"/>
  <pivotFields>
    <pivotField name="Teacher_ID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acher_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outline="0" multipleItemSelectionAllowed="1" showAll="0">
      <items>
        <item x="0"/>
        <item x="1"/>
        <item t="default"/>
      </items>
    </pivotField>
    <pivotField name="Ag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Qualification" outline="0" multipleItemSelectionAllowed="1" showAll="0">
      <items>
        <item x="0"/>
        <item x="1"/>
        <item x="2"/>
        <item x="3"/>
        <item t="default"/>
      </items>
    </pivotField>
    <pivotField name="Subject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outline="0" multipleItemSelectionAllowed="1" showAll="0" sortType="ascending">
      <items>
        <item x="1"/>
        <item x="4"/>
        <item x="2"/>
        <item x="0"/>
        <item x="3"/>
        <item t="default"/>
      </items>
    </pivotField>
    <pivotField name="Class_Assigned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tion" outline="0" multipleItemSelectionAllowed="1" showAll="0">
      <items>
        <item x="0"/>
        <item x="1"/>
        <item x="2"/>
        <item t="default"/>
      </items>
    </pivotField>
    <pivotField name="Experience_Years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Joining_Year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ly_Salary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mployment_Type" axis="axisCol" outline="0" multipleItemSelectionAllowed="1" showAll="0" sortType="ascending">
      <items>
        <item x="1"/>
        <item x="0"/>
        <item t="default"/>
      </items>
    </pivotField>
    <pivotField name="Phone_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mail_ID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6"/>
  </rowFields>
  <colFields>
    <field x="12"/>
  </colFields>
  <dataFields>
    <dataField name="COUNTA of Teacher_ID" fld="0" subtotal="count" baseField="0"/>
  </dataFields>
</pivotTableDefinition>
</file>

<file path=xl/tables/table1.xml><?xml version="1.0" encoding="utf-8"?>
<table xmlns="http://schemas.openxmlformats.org/spreadsheetml/2006/main" ref="A1:O16" displayName="Table_1" name="Table_1" id="1">
  <tableColumns count="15">
    <tableColumn name="Teacher_ID" id="1"/>
    <tableColumn name="Teacher_Name" id="2"/>
    <tableColumn name="Gender" id="3"/>
    <tableColumn name="Age" id="4"/>
    <tableColumn name="Qualification" id="5"/>
    <tableColumn name="Subject" id="6"/>
    <tableColumn name="Department" id="7"/>
    <tableColumn name="Class_Assigned" id="8"/>
    <tableColumn name="Section" id="9"/>
    <tableColumn name="Experience_Years" id="10"/>
    <tableColumn name="Joining_Year" id="11"/>
    <tableColumn name="Monthly_Salary" id="12"/>
    <tableColumn name="Employment_Type" id="13"/>
    <tableColumn name="Phone_No" id="14"/>
    <tableColumn name="Email_ID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0.29"/>
    <col customWidth="1" min="3" max="3" width="12.71"/>
    <col customWidth="1" min="4" max="4" width="9.29"/>
    <col customWidth="1" min="5" max="5" width="18.14"/>
    <col customWidth="1" min="6" max="6" width="12.71"/>
    <col customWidth="1" min="7" max="7" width="17.71"/>
    <col customWidth="1" min="8" max="8" width="21.14"/>
    <col customWidth="1" min="9" max="9" width="12.71"/>
    <col customWidth="1" min="10" max="10" width="22.57"/>
    <col customWidth="1" min="11" max="11" width="17.71"/>
    <col customWidth="1" min="12" max="12" width="18.71"/>
    <col customWidth="1" min="13" max="13" width="21.43"/>
    <col customWidth="1" min="14" max="14" width="13.43"/>
    <col customWidth="1" min="15" max="15" width="23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 t="s">
        <v>16</v>
      </c>
      <c r="C2" s="5" t="s">
        <v>17</v>
      </c>
      <c r="D2" s="5">
        <v>38.0</v>
      </c>
      <c r="E2" s="5" t="s">
        <v>18</v>
      </c>
      <c r="F2" s="5" t="s">
        <v>19</v>
      </c>
      <c r="G2" s="5" t="s">
        <v>20</v>
      </c>
      <c r="H2" s="5">
        <v>10.0</v>
      </c>
      <c r="I2" s="5" t="s">
        <v>21</v>
      </c>
      <c r="J2" s="5">
        <v>12.0</v>
      </c>
      <c r="K2" s="5">
        <v>2012.0</v>
      </c>
      <c r="L2" s="5">
        <v>42000.0</v>
      </c>
      <c r="M2" s="5" t="s">
        <v>22</v>
      </c>
      <c r="N2" s="5">
        <v>9.876543201E9</v>
      </c>
      <c r="O2" s="6" t="s">
        <v>23</v>
      </c>
    </row>
    <row r="3">
      <c r="A3" s="7" t="s">
        <v>24</v>
      </c>
      <c r="B3" s="8" t="s">
        <v>25</v>
      </c>
      <c r="C3" s="8" t="s">
        <v>26</v>
      </c>
      <c r="D3" s="8">
        <v>34.0</v>
      </c>
      <c r="E3" s="8" t="s">
        <v>27</v>
      </c>
      <c r="F3" s="8" t="s">
        <v>28</v>
      </c>
      <c r="G3" s="8" t="s">
        <v>29</v>
      </c>
      <c r="H3" s="8">
        <v>9.0</v>
      </c>
      <c r="I3" s="8" t="s">
        <v>30</v>
      </c>
      <c r="J3" s="8">
        <v>10.0</v>
      </c>
      <c r="K3" s="8">
        <v>2014.0</v>
      </c>
      <c r="L3" s="8">
        <v>38000.0</v>
      </c>
      <c r="M3" s="8" t="s">
        <v>22</v>
      </c>
      <c r="N3" s="8">
        <v>9.876543202E9</v>
      </c>
      <c r="O3" s="9" t="s">
        <v>31</v>
      </c>
    </row>
    <row r="4">
      <c r="A4" s="4" t="s">
        <v>32</v>
      </c>
      <c r="B4" s="5" t="s">
        <v>33</v>
      </c>
      <c r="C4" s="5" t="s">
        <v>17</v>
      </c>
      <c r="D4" s="5">
        <v>41.0</v>
      </c>
      <c r="E4" s="5" t="s">
        <v>18</v>
      </c>
      <c r="F4" s="5" t="s">
        <v>34</v>
      </c>
      <c r="G4" s="5" t="s">
        <v>20</v>
      </c>
      <c r="H4" s="5">
        <v>10.0</v>
      </c>
      <c r="I4" s="5" t="s">
        <v>30</v>
      </c>
      <c r="J4" s="5">
        <v>15.0</v>
      </c>
      <c r="K4" s="5">
        <v>2009.0</v>
      </c>
      <c r="L4" s="5">
        <v>45000.0</v>
      </c>
      <c r="M4" s="5" t="s">
        <v>22</v>
      </c>
      <c r="N4" s="5">
        <v>9.876543203E9</v>
      </c>
      <c r="O4" s="6" t="s">
        <v>35</v>
      </c>
    </row>
    <row r="5">
      <c r="A5" s="7" t="s">
        <v>36</v>
      </c>
      <c r="B5" s="8" t="s">
        <v>37</v>
      </c>
      <c r="C5" s="8" t="s">
        <v>26</v>
      </c>
      <c r="D5" s="8">
        <v>29.0</v>
      </c>
      <c r="E5" s="8" t="s">
        <v>38</v>
      </c>
      <c r="F5" s="8" t="s">
        <v>39</v>
      </c>
      <c r="G5" s="8" t="s">
        <v>20</v>
      </c>
      <c r="H5" s="8">
        <v>8.0</v>
      </c>
      <c r="I5" s="8" t="s">
        <v>21</v>
      </c>
      <c r="J5" s="8">
        <v>5.0</v>
      </c>
      <c r="K5" s="8">
        <v>2019.0</v>
      </c>
      <c r="L5" s="8">
        <v>30000.0</v>
      </c>
      <c r="M5" s="8" t="s">
        <v>40</v>
      </c>
      <c r="N5" s="8">
        <v>9.876543204E9</v>
      </c>
      <c r="O5" s="9" t="s">
        <v>41</v>
      </c>
    </row>
    <row r="6">
      <c r="A6" s="4" t="s">
        <v>42</v>
      </c>
      <c r="B6" s="5" t="s">
        <v>43</v>
      </c>
      <c r="C6" s="5" t="s">
        <v>17</v>
      </c>
      <c r="D6" s="5">
        <v>45.0</v>
      </c>
      <c r="E6" s="5" t="s">
        <v>27</v>
      </c>
      <c r="F6" s="5" t="s">
        <v>44</v>
      </c>
      <c r="G6" s="5" t="s">
        <v>29</v>
      </c>
      <c r="H6" s="5">
        <v>9.0</v>
      </c>
      <c r="I6" s="5" t="s">
        <v>21</v>
      </c>
      <c r="J6" s="5">
        <v>20.0</v>
      </c>
      <c r="K6" s="5">
        <v>2004.0</v>
      </c>
      <c r="L6" s="5">
        <v>48000.0</v>
      </c>
      <c r="M6" s="5" t="s">
        <v>22</v>
      </c>
      <c r="N6" s="5">
        <v>9.876543205E9</v>
      </c>
      <c r="O6" s="6" t="s">
        <v>45</v>
      </c>
    </row>
    <row r="7">
      <c r="A7" s="7" t="s">
        <v>46</v>
      </c>
      <c r="B7" s="8" t="s">
        <v>47</v>
      </c>
      <c r="C7" s="8" t="s">
        <v>26</v>
      </c>
      <c r="D7" s="8">
        <v>36.0</v>
      </c>
      <c r="E7" s="8" t="s">
        <v>18</v>
      </c>
      <c r="F7" s="8" t="s">
        <v>48</v>
      </c>
      <c r="G7" s="8" t="s">
        <v>20</v>
      </c>
      <c r="H7" s="8">
        <v>11.0</v>
      </c>
      <c r="I7" s="8" t="s">
        <v>21</v>
      </c>
      <c r="J7" s="8">
        <v>11.0</v>
      </c>
      <c r="K7" s="8">
        <v>2013.0</v>
      </c>
      <c r="L7" s="8">
        <v>43000.0</v>
      </c>
      <c r="M7" s="8" t="s">
        <v>22</v>
      </c>
      <c r="N7" s="8">
        <v>9.876543206E9</v>
      </c>
      <c r="O7" s="9" t="s">
        <v>49</v>
      </c>
    </row>
    <row r="8">
      <c r="A8" s="4" t="s">
        <v>50</v>
      </c>
      <c r="B8" s="5" t="s">
        <v>51</v>
      </c>
      <c r="C8" s="5" t="s">
        <v>17</v>
      </c>
      <c r="D8" s="5">
        <v>32.0</v>
      </c>
      <c r="E8" s="5" t="s">
        <v>52</v>
      </c>
      <c r="F8" s="5" t="s">
        <v>53</v>
      </c>
      <c r="G8" s="5" t="s">
        <v>54</v>
      </c>
      <c r="H8" s="5">
        <v>10.0</v>
      </c>
      <c r="I8" s="5" t="s">
        <v>55</v>
      </c>
      <c r="J8" s="5">
        <v>7.0</v>
      </c>
      <c r="K8" s="5">
        <v>2017.0</v>
      </c>
      <c r="L8" s="5">
        <v>36000.0</v>
      </c>
      <c r="M8" s="5" t="s">
        <v>40</v>
      </c>
      <c r="N8" s="5">
        <v>9.876543207E9</v>
      </c>
      <c r="O8" s="6" t="s">
        <v>56</v>
      </c>
    </row>
    <row r="9">
      <c r="A9" s="7" t="s">
        <v>57</v>
      </c>
      <c r="B9" s="8" t="s">
        <v>58</v>
      </c>
      <c r="C9" s="8" t="s">
        <v>26</v>
      </c>
      <c r="D9" s="8">
        <v>39.0</v>
      </c>
      <c r="E9" s="8" t="s">
        <v>27</v>
      </c>
      <c r="F9" s="8" t="s">
        <v>59</v>
      </c>
      <c r="G9" s="8" t="s">
        <v>29</v>
      </c>
      <c r="H9" s="8">
        <v>8.0</v>
      </c>
      <c r="I9" s="8" t="s">
        <v>30</v>
      </c>
      <c r="J9" s="8">
        <v>14.0</v>
      </c>
      <c r="K9" s="8">
        <v>2011.0</v>
      </c>
      <c r="L9" s="8">
        <v>41000.0</v>
      </c>
      <c r="M9" s="8" t="s">
        <v>22</v>
      </c>
      <c r="N9" s="8">
        <v>9.876543208E9</v>
      </c>
      <c r="O9" s="9" t="s">
        <v>60</v>
      </c>
    </row>
    <row r="10">
      <c r="A10" s="4" t="s">
        <v>61</v>
      </c>
      <c r="B10" s="5" t="s">
        <v>62</v>
      </c>
      <c r="C10" s="5" t="s">
        <v>17</v>
      </c>
      <c r="D10" s="5">
        <v>28.0</v>
      </c>
      <c r="E10" s="5" t="s">
        <v>38</v>
      </c>
      <c r="F10" s="5" t="s">
        <v>63</v>
      </c>
      <c r="G10" s="5" t="s">
        <v>64</v>
      </c>
      <c r="H10" s="5">
        <v>7.0</v>
      </c>
      <c r="I10" s="5" t="s">
        <v>21</v>
      </c>
      <c r="J10" s="5">
        <v>4.0</v>
      </c>
      <c r="K10" s="5">
        <v>2020.0</v>
      </c>
      <c r="L10" s="5">
        <v>28000.0</v>
      </c>
      <c r="M10" s="5" t="s">
        <v>40</v>
      </c>
      <c r="N10" s="5">
        <v>9.876543209E9</v>
      </c>
      <c r="O10" s="6" t="s">
        <v>65</v>
      </c>
    </row>
    <row r="11">
      <c r="A11" s="7" t="s">
        <v>66</v>
      </c>
      <c r="B11" s="8" t="s">
        <v>67</v>
      </c>
      <c r="C11" s="8" t="s">
        <v>26</v>
      </c>
      <c r="D11" s="8">
        <v>42.0</v>
      </c>
      <c r="E11" s="8" t="s">
        <v>18</v>
      </c>
      <c r="F11" s="8" t="s">
        <v>68</v>
      </c>
      <c r="G11" s="8" t="s">
        <v>69</v>
      </c>
      <c r="H11" s="8">
        <v>12.0</v>
      </c>
      <c r="I11" s="8" t="s">
        <v>21</v>
      </c>
      <c r="J11" s="8">
        <v>18.0</v>
      </c>
      <c r="K11" s="8">
        <v>2007.0</v>
      </c>
      <c r="L11" s="8">
        <v>50000.0</v>
      </c>
      <c r="M11" s="8" t="s">
        <v>22</v>
      </c>
      <c r="N11" s="8">
        <v>9.87654321E9</v>
      </c>
      <c r="O11" s="9" t="s">
        <v>70</v>
      </c>
    </row>
    <row r="12">
      <c r="A12" s="4" t="s">
        <v>71</v>
      </c>
      <c r="B12" s="5" t="s">
        <v>72</v>
      </c>
      <c r="C12" s="5" t="s">
        <v>17</v>
      </c>
      <c r="D12" s="5">
        <v>35.0</v>
      </c>
      <c r="E12" s="5" t="s">
        <v>18</v>
      </c>
      <c r="F12" s="5" t="s">
        <v>34</v>
      </c>
      <c r="G12" s="5" t="s">
        <v>20</v>
      </c>
      <c r="H12" s="5">
        <v>9.0</v>
      </c>
      <c r="I12" s="5" t="s">
        <v>55</v>
      </c>
      <c r="J12" s="5">
        <v>9.0</v>
      </c>
      <c r="K12" s="5">
        <v>2015.0</v>
      </c>
      <c r="L12" s="5">
        <v>39000.0</v>
      </c>
      <c r="M12" s="5" t="s">
        <v>22</v>
      </c>
      <c r="N12" s="5">
        <v>9.876543211E9</v>
      </c>
      <c r="O12" s="6" t="s">
        <v>73</v>
      </c>
    </row>
    <row r="13">
      <c r="A13" s="7" t="s">
        <v>74</v>
      </c>
      <c r="B13" s="8" t="s">
        <v>75</v>
      </c>
      <c r="C13" s="8" t="s">
        <v>26</v>
      </c>
      <c r="D13" s="8">
        <v>31.0</v>
      </c>
      <c r="E13" s="8" t="s">
        <v>38</v>
      </c>
      <c r="F13" s="8" t="s">
        <v>28</v>
      </c>
      <c r="G13" s="8" t="s">
        <v>29</v>
      </c>
      <c r="H13" s="8">
        <v>7.0</v>
      </c>
      <c r="I13" s="8" t="s">
        <v>30</v>
      </c>
      <c r="J13" s="8">
        <v>6.0</v>
      </c>
      <c r="K13" s="8">
        <v>2018.0</v>
      </c>
      <c r="L13" s="8">
        <v>32000.0</v>
      </c>
      <c r="M13" s="8" t="s">
        <v>40</v>
      </c>
      <c r="N13" s="8">
        <v>9.876543212E9</v>
      </c>
      <c r="O13" s="9" t="s">
        <v>76</v>
      </c>
    </row>
    <row r="14">
      <c r="A14" s="4" t="s">
        <v>77</v>
      </c>
      <c r="B14" s="5" t="s">
        <v>78</v>
      </c>
      <c r="C14" s="5" t="s">
        <v>17</v>
      </c>
      <c r="D14" s="5">
        <v>40.0</v>
      </c>
      <c r="E14" s="5" t="s">
        <v>18</v>
      </c>
      <c r="F14" s="5" t="s">
        <v>48</v>
      </c>
      <c r="G14" s="5" t="s">
        <v>20</v>
      </c>
      <c r="H14" s="5">
        <v>12.0</v>
      </c>
      <c r="I14" s="5" t="s">
        <v>30</v>
      </c>
      <c r="J14" s="5">
        <v>16.0</v>
      </c>
      <c r="K14" s="5">
        <v>2008.0</v>
      </c>
      <c r="L14" s="5">
        <v>47000.0</v>
      </c>
      <c r="M14" s="5" t="s">
        <v>22</v>
      </c>
      <c r="N14" s="5">
        <v>9.876543213E9</v>
      </c>
      <c r="O14" s="6" t="s">
        <v>79</v>
      </c>
    </row>
    <row r="15">
      <c r="A15" s="7" t="s">
        <v>80</v>
      </c>
      <c r="B15" s="8" t="s">
        <v>81</v>
      </c>
      <c r="C15" s="8" t="s">
        <v>26</v>
      </c>
      <c r="D15" s="8">
        <v>37.0</v>
      </c>
      <c r="E15" s="8" t="s">
        <v>27</v>
      </c>
      <c r="F15" s="8" t="s">
        <v>44</v>
      </c>
      <c r="G15" s="8" t="s">
        <v>29</v>
      </c>
      <c r="H15" s="8">
        <v>10.0</v>
      </c>
      <c r="I15" s="8" t="s">
        <v>21</v>
      </c>
      <c r="J15" s="8">
        <v>13.0</v>
      </c>
      <c r="K15" s="8">
        <v>2011.0</v>
      </c>
      <c r="L15" s="8">
        <v>42000.0</v>
      </c>
      <c r="M15" s="8" t="s">
        <v>22</v>
      </c>
      <c r="N15" s="8">
        <v>9.876543214E9</v>
      </c>
      <c r="O15" s="9" t="s">
        <v>82</v>
      </c>
    </row>
    <row r="16">
      <c r="A16" s="10" t="s">
        <v>83</v>
      </c>
      <c r="B16" s="11" t="s">
        <v>84</v>
      </c>
      <c r="C16" s="11" t="s">
        <v>17</v>
      </c>
      <c r="D16" s="11">
        <v>44.0</v>
      </c>
      <c r="E16" s="11" t="s">
        <v>18</v>
      </c>
      <c r="F16" s="11" t="s">
        <v>19</v>
      </c>
      <c r="G16" s="11" t="s">
        <v>20</v>
      </c>
      <c r="H16" s="11">
        <v>11.0</v>
      </c>
      <c r="I16" s="11" t="s">
        <v>55</v>
      </c>
      <c r="J16" s="11">
        <v>19.0</v>
      </c>
      <c r="K16" s="11">
        <v>2005.0</v>
      </c>
      <c r="L16" s="11">
        <v>49000.0</v>
      </c>
      <c r="M16" s="11" t="s">
        <v>22</v>
      </c>
      <c r="N16" s="11">
        <v>9.876543215E9</v>
      </c>
      <c r="O16" s="1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11.86"/>
    <col customWidth="1" min="3" max="3" width="15.14"/>
    <col customWidth="1" min="4" max="4" width="3.43"/>
    <col customWidth="1" min="5" max="5" width="45.29"/>
    <col customWidth="1" min="6" max="6" width="12.71"/>
    <col customWidth="1" min="7" max="7" width="10.71"/>
  </cols>
  <sheetData>
    <row r="1">
      <c r="A1" s="13" t="s">
        <v>86</v>
      </c>
      <c r="B1" s="14" t="str">
        <f>Sheet1!A1</f>
        <v>Teacher_ID</v>
      </c>
      <c r="C1" s="15" t="s">
        <v>87</v>
      </c>
      <c r="E1" s="16" t="s">
        <v>88</v>
      </c>
      <c r="F1" s="17" t="s">
        <v>0</v>
      </c>
      <c r="G1" s="15" t="s">
        <v>87</v>
      </c>
    </row>
    <row r="2">
      <c r="A2" s="18" t="s">
        <v>89</v>
      </c>
      <c r="B2" s="19" t="str">
        <f>Sheet1!A2</f>
        <v>T001</v>
      </c>
      <c r="C2" s="20" t="str">
        <f>IF(Sheet1!$J2&gt;10,"Senior","Junior")</f>
        <v>Senior</v>
      </c>
      <c r="E2" s="21" t="s">
        <v>90</v>
      </c>
      <c r="F2" s="22" t="s">
        <v>15</v>
      </c>
      <c r="G2" s="20" t="str">
        <f>VLOOKUP(F2,Sheet1!$A2:Sheet1!O16,6,0)</f>
        <v>Physics</v>
      </c>
    </row>
    <row r="3">
      <c r="A3" s="18" t="s">
        <v>91</v>
      </c>
      <c r="B3" s="19" t="str">
        <f>Sheet1!A3</f>
        <v>T002</v>
      </c>
      <c r="C3" s="20" t="str">
        <f>IF(Sheet2!L3&gt;=40000,"High Salary","Normal")</f>
        <v>Normal</v>
      </c>
      <c r="E3" s="21" t="s">
        <v>92</v>
      </c>
      <c r="F3" s="22" t="s">
        <v>24</v>
      </c>
      <c r="G3" s="20" t="str">
        <f>VLOOKUP(F3,Sheet1!A2:Sheet1!O16,13,0)</f>
        <v>Permanent</v>
      </c>
    </row>
    <row r="4">
      <c r="A4" s="18" t="s">
        <v>93</v>
      </c>
      <c r="B4" s="19" t="str">
        <f>Sheet1!A4</f>
        <v>T003</v>
      </c>
      <c r="C4" s="20" t="str">
        <f>IF(Sheet1!$L4&gt;=45000,"Excellent",IF(Sheet1!$L4&gt;=35000,"Good","Average"))</f>
        <v>Excellent</v>
      </c>
      <c r="E4" s="21" t="s">
        <v>94</v>
      </c>
      <c r="F4" s="22" t="s">
        <v>32</v>
      </c>
      <c r="G4" s="23" t="str">
        <f>VLOOKUP(F4,Sheet1!A2:Sheet1!O16,5,0)</f>
        <v>M.Sc</v>
      </c>
    </row>
    <row r="5">
      <c r="A5" s="18" t="s">
        <v>95</v>
      </c>
      <c r="B5" s="19" t="str">
        <f>Sheet1!A5</f>
        <v>T004</v>
      </c>
      <c r="C5" s="20" t="str">
        <f>IF(Sheet1!$G5="IT","Tech Department","Non Tech")</f>
        <v>Non Tech</v>
      </c>
      <c r="E5" s="21" t="s">
        <v>96</v>
      </c>
      <c r="F5" s="22" t="s">
        <v>36</v>
      </c>
      <c r="G5" s="24" t="str">
        <f>HLOOKUP("Age",Sheet1!A1:Sheet1!O16,5,0)</f>
        <v>29</v>
      </c>
    </row>
    <row r="6">
      <c r="A6" s="18" t="s">
        <v>97</v>
      </c>
      <c r="B6" s="19" t="str">
        <f>Sheet1!A6</f>
        <v>T005</v>
      </c>
      <c r="C6" s="20" t="str">
        <f>IF(Sheet1!$D6&gt;=40,"Senior",IF(Sheet1!$D6&gt;=30,"Mid Level","Junior"))</f>
        <v>Senior</v>
      </c>
      <c r="E6" s="21" t="s">
        <v>98</v>
      </c>
      <c r="F6" s="22" t="s">
        <v>42</v>
      </c>
      <c r="G6" s="20" t="str">
        <f>HLOOKUP("Department",Sheet1!$A$1:$O$16,6,0)</f>
        <v>Arts</v>
      </c>
    </row>
    <row r="7">
      <c r="A7" s="18" t="s">
        <v>99</v>
      </c>
      <c r="B7" s="19" t="str">
        <f>Sheet1!A7</f>
        <v>T006</v>
      </c>
      <c r="C7" s="20" t="str">
        <f>IF(Sheet1!$K7&lt;=2010,"Old Staff","New Staff")</f>
        <v>New Staff</v>
      </c>
      <c r="E7" s="21" t="s">
        <v>100</v>
      </c>
      <c r="F7" s="22" t="s">
        <v>46</v>
      </c>
      <c r="G7" s="20" t="str">
        <f t="array" ref="G7">INDEX(Sheet1!F2:Sheet1!F16,MATCH(F7,Sheet1!A2:Sheet1!A16,0))</f>
        <v>Chemistry</v>
      </c>
    </row>
    <row r="8">
      <c r="A8" s="18" t="s">
        <v>101</v>
      </c>
      <c r="B8" s="19" t="str">
        <f>Sheet1!A8</f>
        <v>T007</v>
      </c>
      <c r="C8" s="20" t="str">
        <f>IF(Sheet1!$G8="Science",IF(Sheet1!$L8&gt;=45000,"Excellent","Good"),"Average")</f>
        <v>Average</v>
      </c>
      <c r="E8" s="21" t="s">
        <v>102</v>
      </c>
      <c r="F8" s="22" t="s">
        <v>50</v>
      </c>
      <c r="G8" s="20" t="str">
        <f t="array" ref="G8">INDEX(Sheet1!G2:Sheet1!G16,MATCH(Sheet2!F8,Sheet1!A2:Sheet1!A16,0))</f>
        <v>IT</v>
      </c>
    </row>
    <row r="9">
      <c r="A9" s="18" t="s">
        <v>103</v>
      </c>
      <c r="B9" s="19" t="str">
        <f>Sheet1!A9</f>
        <v>T008</v>
      </c>
      <c r="C9" s="20" t="str">
        <f>IF(AND(Sheet1!$G9="Science",Sheet1!$J9&gt;10),"Eligible","Not Eligible")</f>
        <v>Not Eligible</v>
      </c>
      <c r="F9" s="25"/>
    </row>
    <row r="10">
      <c r="A10" s="18" t="s">
        <v>104</v>
      </c>
      <c r="B10" s="19" t="str">
        <f>Sheet1!A10</f>
        <v>T009</v>
      </c>
      <c r="C10" s="20" t="str">
        <f>IF(OR(Sheet1!$C10="F",Sheet1!$L10&gt;45000),"Priority","Normal")</f>
        <v>Normal</v>
      </c>
      <c r="F10" s="25"/>
    </row>
    <row r="11">
      <c r="A11" s="18" t="s">
        <v>105</v>
      </c>
      <c r="B11" s="19" t="str">
        <f>Sheet1!A11</f>
        <v>T010</v>
      </c>
      <c r="C11" s="20" t="str">
        <f>IF(AND(Sheet1!$G11="Science",Sheet1!$L11&gt;40000),"High Paid Science","Others")</f>
        <v>Others</v>
      </c>
      <c r="F11" s="25"/>
    </row>
    <row r="12">
      <c r="A12" s="18" t="s">
        <v>106</v>
      </c>
      <c r="B12" s="19" t="str">
        <f>Sheet1!A12</f>
        <v>T011</v>
      </c>
      <c r="C12" s="20" t="str">
        <f>IF(OR(Sheet1!$J12&gt;15,Sheet1!$L12&gt;48000),"Top Staff","Regular Staff")</f>
        <v>Regular Staff</v>
      </c>
      <c r="F12" s="25"/>
    </row>
    <row r="13">
      <c r="A13" s="18" t="s">
        <v>107</v>
      </c>
      <c r="B13" s="19" t="str">
        <f>Sheet1!A13</f>
        <v>T012</v>
      </c>
      <c r="C13" s="20" t="str">
        <f>IF(AND(Sheet1!$G13="Science",Sheet1!$J13&gt;=15,Sheet1!$L13),"Star Teacher","Regular Teacher")</f>
        <v>Regular Teacher</v>
      </c>
      <c r="F13" s="25"/>
    </row>
    <row r="14">
      <c r="A14" s="18" t="s">
        <v>108</v>
      </c>
      <c r="B14" s="19" t="str">
        <f>Sheet1!A14</f>
        <v>T013</v>
      </c>
      <c r="C14" s="20" t="str">
        <f>IF(OR(Sheet1!$C14="F",Sheet1!$E14="M.Ed"),"Special Category","Normal")</f>
        <v>Normal</v>
      </c>
      <c r="F14" s="25"/>
    </row>
    <row r="15">
      <c r="A15" s="18" t="s">
        <v>109</v>
      </c>
      <c r="B15" s="19" t="s">
        <v>80</v>
      </c>
      <c r="C15" s="20" t="str">
        <f>IF(VLOOKUP("T015",Sheet1!A2:Sheet1!O16,12,FALSE)&gt;=45000,"High","Low")</f>
        <v>High</v>
      </c>
      <c r="F15" s="25"/>
    </row>
    <row r="16">
      <c r="A16" s="18" t="s">
        <v>110</v>
      </c>
      <c r="B16" s="19" t="s">
        <v>83</v>
      </c>
      <c r="C16" s="20" t="str">
        <f>IFERROR(VLOOKUP("T015",Sheet1!A2:Sheet1!$O16,2,FALSE),"Not Available")</f>
        <v>Soumen Dutta</v>
      </c>
      <c r="F16" s="25"/>
    </row>
    <row r="17">
      <c r="A17" s="26" t="s">
        <v>111</v>
      </c>
      <c r="B17" s="14" t="s">
        <v>0</v>
      </c>
      <c r="C17" s="15" t="s">
        <v>87</v>
      </c>
    </row>
    <row r="18">
      <c r="A18" s="27" t="s">
        <v>112</v>
      </c>
      <c r="B18" s="19" t="s">
        <v>15</v>
      </c>
      <c r="C18" s="20" t="str">
        <f t="array" ref="C18">IFS(Sheet1!J2&gt;=15,"Very Experienced",Sheet1!J2&gt;=10,"Experienced",TRUE,"Beginner")</f>
        <v>Experienced</v>
      </c>
    </row>
    <row r="19">
      <c r="A19" s="27" t="s">
        <v>113</v>
      </c>
      <c r="B19" s="19" t="s">
        <v>24</v>
      </c>
      <c r="C19" s="20" t="str">
        <f t="array" ref="C19">IFS(Sheet1!M3="Permanent","Full Time",Sheet1!M3="Contract","Temporary")</f>
        <v>Full Time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9.14"/>
    <col customWidth="1" min="3" max="3" width="13.14"/>
    <col customWidth="1" min="4" max="4" width="21.86"/>
    <col customWidth="1" min="5" max="5" width="13.14"/>
    <col customWidth="1" min="6" max="6" width="21.86"/>
    <col customWidth="1" min="7" max="7" width="19.14"/>
    <col customWidth="1" min="8" max="8" width="16.29"/>
  </cols>
  <sheetData>
    <row r="1">
      <c r="A1" s="28"/>
      <c r="C1" s="28"/>
      <c r="E1" s="28"/>
      <c r="G1" s="28"/>
      <c r="H1" s="28"/>
    </row>
    <row r="2"/>
    <row r="3"/>
    <row r="4"/>
    <row r="5"/>
    <row r="6"/>
    <row r="7"/>
    <row r="8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2026-01-29T09:03:37Z</dcterms:created>
  <dc:creator>User</dc:creator>
  <cp:lastModifiedBy>User</cp:lastModifiedBy>
  <dcterms:modified xsi:type="dcterms:W3CDTF">2026-02-08T03:57:24Z</dcterms:modified>
</cp:coreProperties>
</file>